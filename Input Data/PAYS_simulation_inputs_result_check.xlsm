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aurikShah\PycharmProjects\ProAlpha\Input Data\"/>
    </mc:Choice>
  </mc:AlternateContent>
  <xr:revisionPtr revIDLastSave="0" documentId="13_ncr:9_{F46AE2F9-BE47-4CE8-A31E-3F6E38C635D0}" xr6:coauthVersionLast="45" xr6:coauthVersionMax="45" xr10:uidLastSave="{00000000-0000-0000-0000-000000000000}"/>
  <bookViews>
    <workbookView xWindow="19080" yWindow="-120" windowWidth="19440" windowHeight="15600" xr2:uid="{9F3B75FE-C38A-4E11-89CA-D3FA2877F5BF}"/>
  </bookViews>
  <sheets>
    <sheet name="PAYS_simulation_inpu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5" i="1" l="1"/>
  <c r="M4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2" i="1"/>
  <c r="M3" i="1"/>
  <c r="N3" i="1" s="1"/>
  <c r="M2" i="1"/>
  <c r="N2" i="1" s="1"/>
  <c r="M7" i="1" l="1"/>
  <c r="M11" i="1" s="1"/>
  <c r="M8" i="1"/>
  <c r="M12" i="1" s="1"/>
  <c r="M15" i="1" l="1"/>
</calcChain>
</file>

<file path=xl/sharedStrings.xml><?xml version="1.0" encoding="utf-8"?>
<sst xmlns="http://schemas.openxmlformats.org/spreadsheetml/2006/main" count="130" uniqueCount="92">
  <si>
    <t>Sector</t>
  </si>
  <si>
    <t>HDFCB IS Equity</t>
  </si>
  <si>
    <t>Banks</t>
  </si>
  <si>
    <t>RIL IS Equity</t>
  </si>
  <si>
    <t>Petroleum Products</t>
  </si>
  <si>
    <t>HDFC IS Equity</t>
  </si>
  <si>
    <t>Finance</t>
  </si>
  <si>
    <t>Software</t>
  </si>
  <si>
    <t>ICICIBC IS Equity</t>
  </si>
  <si>
    <t>TCS IS Equity</t>
  </si>
  <si>
    <t>KMB IS Equity</t>
  </si>
  <si>
    <t>HUVR IS Equity</t>
  </si>
  <si>
    <t>Consumer Non Durables</t>
  </si>
  <si>
    <t>ITC IS Equity</t>
  </si>
  <si>
    <t>AXSB IS equity</t>
  </si>
  <si>
    <t>LT IS Equity</t>
  </si>
  <si>
    <t>Construction Project</t>
  </si>
  <si>
    <t>BAF IS Equity</t>
  </si>
  <si>
    <t>BHARTI IS Equity</t>
  </si>
  <si>
    <t>Telecom - Services</t>
  </si>
  <si>
    <t>APNT IS Equity</t>
  </si>
  <si>
    <t>SBIN IS Equity</t>
  </si>
  <si>
    <t>MSIL IS Equity</t>
  </si>
  <si>
    <t>Auto</t>
  </si>
  <si>
    <t>HCLT IS Equity</t>
  </si>
  <si>
    <t>MM iS Equity</t>
  </si>
  <si>
    <t>NESTLE IS Equity</t>
  </si>
  <si>
    <t>DRRD IS Equity</t>
  </si>
  <si>
    <t>Pharmaceuticals</t>
  </si>
  <si>
    <t>TTAN IS Equity</t>
  </si>
  <si>
    <t>Consumer Durables</t>
  </si>
  <si>
    <t>UTCEM IS Equity</t>
  </si>
  <si>
    <t>Cement</t>
  </si>
  <si>
    <t>TECHM IS Equity</t>
  </si>
  <si>
    <t>BJFIN IS Equity</t>
  </si>
  <si>
    <t>WPRO IS Equity</t>
  </si>
  <si>
    <t>HDFCLIFE IS Equity</t>
  </si>
  <si>
    <t>PWGR IS Equity</t>
  </si>
  <si>
    <t>Power</t>
  </si>
  <si>
    <t>IIB IS Equity</t>
  </si>
  <si>
    <t>DIVI IS Equity</t>
  </si>
  <si>
    <t>NTPC IS Equity</t>
  </si>
  <si>
    <t>TATA IS Equity</t>
  </si>
  <si>
    <t>Ferrous Metals</t>
  </si>
  <si>
    <t>BRIT IS Equity</t>
  </si>
  <si>
    <t>BJAUT IS Equity</t>
  </si>
  <si>
    <t>HMCL IS Equity</t>
  </si>
  <si>
    <t>CIPLA IS Equity</t>
  </si>
  <si>
    <t>EIM IS Equity</t>
  </si>
  <si>
    <t>GRASIM IS Equity</t>
  </si>
  <si>
    <t>JSTL IS Equity</t>
  </si>
  <si>
    <t>HNDL IS Equity</t>
  </si>
  <si>
    <t>Non - Ferrous Metals</t>
  </si>
  <si>
    <t>SBILIFE IS Equity</t>
  </si>
  <si>
    <t>TTMT IS Equity</t>
  </si>
  <si>
    <t>ADSEZ IS Equity</t>
  </si>
  <si>
    <t>Transportation</t>
  </si>
  <si>
    <t>BPCL IS Equity</t>
  </si>
  <si>
    <t>ONGC IS Equity</t>
  </si>
  <si>
    <t>Oil</t>
  </si>
  <si>
    <t>COAL IS Equity</t>
  </si>
  <si>
    <t>Minerals/Mining</t>
  </si>
  <si>
    <t>UPLL IS Equity</t>
  </si>
  <si>
    <t>Pesticides</t>
  </si>
  <si>
    <t>IOCL IS Equity</t>
  </si>
  <si>
    <t>GAIL IS Equity</t>
  </si>
  <si>
    <t>Gas</t>
  </si>
  <si>
    <t>BloomCode</t>
  </si>
  <si>
    <t>Standard_deviation</t>
  </si>
  <si>
    <t>Mean</t>
  </si>
  <si>
    <t>SUNP IS Equity</t>
  </si>
  <si>
    <t>SRCM IS Equity</t>
  </si>
  <si>
    <t>INFO IS Equity</t>
  </si>
  <si>
    <t>BankNifty_weights</t>
  </si>
  <si>
    <t>Nifty_weights</t>
  </si>
  <si>
    <t>BANDHAN IS Equity</t>
  </si>
  <si>
    <t>BOB IS Equity</t>
  </si>
  <si>
    <t>FB IS Equity</t>
  </si>
  <si>
    <t>IDFCFB IS Equity</t>
  </si>
  <si>
    <t>PNB IS Equity</t>
  </si>
  <si>
    <t>PAYS_BankNifty_weights</t>
  </si>
  <si>
    <t>PAYS_Nifty_weights</t>
  </si>
  <si>
    <t>RBK IS Equity</t>
  </si>
  <si>
    <t>Nifty Retruns</t>
  </si>
  <si>
    <t>bank Nifty returns</t>
  </si>
  <si>
    <t>PAYS Nifty portfolio returns</t>
  </si>
  <si>
    <t>PAYS Bank nifty portfolio returns</t>
  </si>
  <si>
    <t>Returns</t>
  </si>
  <si>
    <t>Negative returns</t>
  </si>
  <si>
    <t>PAYS Nifty Calls returns</t>
  </si>
  <si>
    <t>PAYS Nifty Puts Returns</t>
  </si>
  <si>
    <t>PAYS BankNifty portfolio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</si>
</sst>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10" fontId="0" fillId="0" borderId="0" xfId="0" applyNumberFormat="1"/>
    <xf numFmtId="0" fontId="0" fillId="0" borderId="0" xfId="0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049AE-5DE4-4584-A747-845F9E88F82C}">
  <dimension ref="A1:N57"/>
  <sheetViews>
    <sheetView tabSelected="1" topLeftCell="E1" workbookViewId="0">
      <selection activeCell="I2" sqref="I2:I57"/>
    </sheetView>
  </sheetViews>
  <sheetFormatPr defaultRowHeight="15" x14ac:dyDescent="0.25"/>
  <cols>
    <col min="1" max="1" width="18.42578125" bestFit="1" customWidth="1"/>
    <col min="2" max="2" width="22.85546875" bestFit="1" customWidth="1"/>
    <col min="3" max="3" width="13.5703125" bestFit="1" customWidth="1"/>
    <col min="4" max="4" width="18" bestFit="1" customWidth="1"/>
    <col min="5" max="5" width="18.5703125" bestFit="1" customWidth="1"/>
    <col min="6" max="6" width="12" bestFit="1" customWidth="1"/>
    <col min="7" max="7" width="19.140625" bestFit="1" customWidth="1"/>
    <col min="8" max="8" width="23.5703125" bestFit="1" customWidth="1"/>
    <col min="11" max="11" width="9.140625" style="4"/>
    <col min="12" max="12" width="30.5703125" bestFit="1" customWidth="1"/>
    <col min="13" max="13" width="12" customWidth="1"/>
  </cols>
  <sheetData>
    <row r="1" spans="1:14" x14ac:dyDescent="0.25">
      <c r="A1" t="s">
        <v>67</v>
      </c>
      <c r="B1" t="s">
        <v>0</v>
      </c>
      <c r="C1" t="s">
        <v>74</v>
      </c>
      <c r="D1" t="s">
        <v>73</v>
      </c>
      <c r="E1" t="s">
        <v>68</v>
      </c>
      <c r="F1" t="s">
        <v>69</v>
      </c>
      <c r="G1" t="s">
        <v>81</v>
      </c>
      <c r="H1" t="s">
        <v>80</v>
      </c>
      <c r="I1" t="s">
        <v>87</v>
      </c>
      <c r="J1" t="s">
        <v>88</v>
      </c>
    </row>
    <row r="2" spans="1:14" x14ac:dyDescent="0.25">
      <c r="A2" t="s">
        <v>1</v>
      </c>
      <c r="B2" t="s">
        <v>2</v>
      </c>
      <c r="C2" s="1">
        <v>0.11210000000000001</v>
      </c>
      <c r="D2" s="1">
        <v>0.28389999999999999</v>
      </c>
      <c r="E2" s="1">
        <v>7.8333196955594542E-2</v>
      </c>
      <c r="F2" s="1">
        <v>1.9634011515305989E-2</v>
      </c>
      <c r="G2" s="1">
        <v>0.08</v>
      </c>
      <c r="H2" s="1">
        <v>0.39</v>
      </c>
      <c r="I2" s="4">
        <v>0.111548336392642</v>
      </c>
      <c r="J2">
        <f>+IF(I2&lt;0,I2,0)</f>
        <v>0</v>
      </c>
      <c r="L2" t="s">
        <v>83</v>
      </c>
      <c r="M2">
        <f>+SUMPRODUCT($I$2:$I$57,$C$2:$C$57)</f>
        <v>2.0644019992026058E-2</v>
      </c>
      <c r="N2">
        <f>+IF(M2&lt;0,-M2,0)</f>
        <v>0</v>
      </c>
    </row>
    <row r="3" spans="1:14" x14ac:dyDescent="0.25">
      <c r="A3" t="s">
        <v>3</v>
      </c>
      <c r="B3" t="s">
        <v>4</v>
      </c>
      <c r="C3" s="1">
        <v>0.11169999999999999</v>
      </c>
      <c r="D3" s="1">
        <v>0</v>
      </c>
      <c r="E3" s="1">
        <v>9.5609612310644229E-2</v>
      </c>
      <c r="F3" s="1">
        <v>1.9828142275426001E-2</v>
      </c>
      <c r="G3" s="1">
        <v>0.15</v>
      </c>
      <c r="H3" s="1">
        <v>0</v>
      </c>
      <c r="I3" s="4">
        <v>-0.15427426345540199</v>
      </c>
      <c r="J3" s="4">
        <f t="shared" ref="J3:J57" si="0">+IF(I3&lt;0,I3,0)</f>
        <v>-0.15427426345540199</v>
      </c>
      <c r="L3" t="s">
        <v>84</v>
      </c>
      <c r="M3" s="4">
        <f>+SUMPRODUCT($I$2:$I$57,$D$2:$D$57)</f>
        <v>0.10307154894638119</v>
      </c>
      <c r="N3" s="4">
        <f>+IF(M3&lt;0,-M3,0)</f>
        <v>0</v>
      </c>
    </row>
    <row r="4" spans="1:14" x14ac:dyDescent="0.25">
      <c r="A4" t="s">
        <v>5</v>
      </c>
      <c r="B4" t="s">
        <v>6</v>
      </c>
      <c r="C4" s="1">
        <v>7.2300000000000003E-2</v>
      </c>
      <c r="D4" s="1">
        <v>0</v>
      </c>
      <c r="E4" s="1">
        <v>8.4137786202253553E-2</v>
      </c>
      <c r="F4" s="1">
        <v>2.0503989567083755E-2</v>
      </c>
      <c r="G4" s="1">
        <v>7.0000000000000007E-2</v>
      </c>
      <c r="H4" s="1">
        <v>0.05</v>
      </c>
      <c r="I4" s="4">
        <v>1.31102295157094E-2</v>
      </c>
      <c r="J4" s="4">
        <f t="shared" si="0"/>
        <v>0</v>
      </c>
      <c r="L4" t="s">
        <v>85</v>
      </c>
      <c r="M4" s="4">
        <f>+SUMPRODUCT($I$2:$I$57,$G$2:$G$57)</f>
        <v>-8.4860777965564457E-3</v>
      </c>
    </row>
    <row r="5" spans="1:14" x14ac:dyDescent="0.25">
      <c r="A5" t="s">
        <v>72</v>
      </c>
      <c r="B5" t="s">
        <v>7</v>
      </c>
      <c r="C5" s="1">
        <v>7.2099999999999997E-2</v>
      </c>
      <c r="D5" s="1">
        <v>0</v>
      </c>
      <c r="E5" s="1">
        <v>9.714242045316232E-2</v>
      </c>
      <c r="F5" s="1">
        <v>1.3974306370868793E-2</v>
      </c>
      <c r="G5" s="1">
        <v>7.0000000000000007E-2</v>
      </c>
      <c r="H5" s="1">
        <v>0</v>
      </c>
      <c r="I5" s="4">
        <v>6.9050405492656397E-2</v>
      </c>
      <c r="J5" s="4">
        <f t="shared" si="0"/>
        <v>0</v>
      </c>
      <c r="L5" t="s">
        <v>86</v>
      </c>
      <c r="M5" s="4">
        <f>+SUMPRODUCT($I$2:$I$57,$H$2:$H$57)</f>
        <v>9.6164997196531835E-2</v>
      </c>
    </row>
    <row r="6" spans="1:14" x14ac:dyDescent="0.25">
      <c r="A6" t="s">
        <v>8</v>
      </c>
      <c r="B6" t="s">
        <v>2</v>
      </c>
      <c r="C6" s="1">
        <v>5.8400000000000001E-2</v>
      </c>
      <c r="D6" s="1">
        <v>0.1948</v>
      </c>
      <c r="E6" s="1">
        <v>0.12713914384130245</v>
      </c>
      <c r="F6" s="1">
        <v>1.9279311074517514E-2</v>
      </c>
      <c r="G6" s="1">
        <v>0.06</v>
      </c>
      <c r="H6" s="1">
        <v>0.2</v>
      </c>
      <c r="I6" s="4">
        <v>0.135622230710953</v>
      </c>
      <c r="J6" s="4">
        <f t="shared" si="0"/>
        <v>0</v>
      </c>
      <c r="M6" s="4"/>
    </row>
    <row r="7" spans="1:14" x14ac:dyDescent="0.25">
      <c r="A7" t="s">
        <v>9</v>
      </c>
      <c r="B7" t="s">
        <v>7</v>
      </c>
      <c r="C7" s="1">
        <v>5.04E-2</v>
      </c>
      <c r="D7" s="1">
        <v>0</v>
      </c>
      <c r="E7" s="1">
        <v>7.8145643966773426E-2</v>
      </c>
      <c r="F7" s="1">
        <v>1.8903374521637553E-2</v>
      </c>
      <c r="G7" s="1">
        <v>0.06</v>
      </c>
      <c r="H7" s="1">
        <v>0</v>
      </c>
      <c r="I7" s="4">
        <v>1.2726714758968E-3</v>
      </c>
      <c r="J7" s="4">
        <f t="shared" si="0"/>
        <v>0</v>
      </c>
      <c r="L7" t="s">
        <v>89</v>
      </c>
      <c r="M7" s="4">
        <f>+SUMPRODUCT($J$2:$J$57,$G$2:$G$57)</f>
        <v>-4.1421610421248922E-2</v>
      </c>
    </row>
    <row r="8" spans="1:14" x14ac:dyDescent="0.25">
      <c r="A8" t="s">
        <v>10</v>
      </c>
      <c r="B8" t="s">
        <v>2</v>
      </c>
      <c r="C8" s="1">
        <v>0.05</v>
      </c>
      <c r="D8" s="1">
        <v>0.16309999999999999</v>
      </c>
      <c r="E8" s="1">
        <v>0.13286461830726778</v>
      </c>
      <c r="F8" s="1">
        <v>2.9402533276032063E-2</v>
      </c>
      <c r="G8" s="1">
        <v>0.06</v>
      </c>
      <c r="H8" s="1">
        <v>0.17</v>
      </c>
      <c r="I8" s="4">
        <v>-3.5538393892369E-2</v>
      </c>
      <c r="J8" s="4">
        <f t="shared" si="0"/>
        <v>-3.5538393892369E-2</v>
      </c>
      <c r="L8" t="s">
        <v>90</v>
      </c>
      <c r="M8" s="4">
        <f>+SUMPRODUCT($J$2:$J$57,$H$2:$H$57)</f>
        <v>-6.375239481673717E-3</v>
      </c>
    </row>
    <row r="9" spans="1:14" x14ac:dyDescent="0.25">
      <c r="A9" t="s">
        <v>11</v>
      </c>
      <c r="B9" t="s">
        <v>12</v>
      </c>
      <c r="C9" s="1">
        <v>3.4200000000000001E-2</v>
      </c>
      <c r="D9" s="1">
        <v>0</v>
      </c>
      <c r="E9" s="1">
        <v>7.4550832535859715E-2</v>
      </c>
      <c r="F9" s="1">
        <v>1.1459004593060882E-2</v>
      </c>
      <c r="G9" s="1">
        <v>0.05</v>
      </c>
      <c r="H9" s="1">
        <v>0</v>
      </c>
      <c r="I9" s="4">
        <v>-8.0878589474669901E-2</v>
      </c>
      <c r="J9" s="4">
        <f t="shared" si="0"/>
        <v>-8.0878589474669901E-2</v>
      </c>
    </row>
    <row r="10" spans="1:14" x14ac:dyDescent="0.25">
      <c r="A10" t="s">
        <v>13</v>
      </c>
      <c r="B10" t="s">
        <v>12</v>
      </c>
      <c r="C10" s="1">
        <v>3.0300000000000001E-2</v>
      </c>
      <c r="D10" s="1">
        <v>0</v>
      </c>
      <c r="E10" s="1">
        <v>7.4978927194002856E-2</v>
      </c>
      <c r="F10" s="1">
        <v>1.2943587973784804E-2</v>
      </c>
      <c r="G10" s="1">
        <v>0.04</v>
      </c>
      <c r="H10" s="1">
        <v>0</v>
      </c>
      <c r="I10" s="4">
        <v>-2.0082358980895901E-2</v>
      </c>
      <c r="J10" s="4">
        <f t="shared" si="0"/>
        <v>-2.0082358980895901E-2</v>
      </c>
    </row>
    <row r="11" spans="1:14" x14ac:dyDescent="0.25">
      <c r="A11" t="s">
        <v>14</v>
      </c>
      <c r="B11" t="s">
        <v>2</v>
      </c>
      <c r="C11" s="1">
        <v>2.6700000000000002E-2</v>
      </c>
      <c r="D11" s="1">
        <v>0.14949999999999999</v>
      </c>
      <c r="E11" s="1">
        <v>0.13008355190260965</v>
      </c>
      <c r="F11" s="1">
        <v>2.672764325223476E-2</v>
      </c>
      <c r="G11" s="1">
        <v>0</v>
      </c>
      <c r="H11" s="1">
        <v>0.09</v>
      </c>
      <c r="I11" s="4">
        <v>0.26361779739754498</v>
      </c>
      <c r="J11" s="4">
        <f t="shared" si="0"/>
        <v>0</v>
      </c>
      <c r="L11" t="s">
        <v>85</v>
      </c>
      <c r="M11" s="2">
        <f>+M7+N2+4%-2%</f>
        <v>-2.1421610421248922E-2</v>
      </c>
    </row>
    <row r="12" spans="1:14" x14ac:dyDescent="0.25">
      <c r="A12" t="s">
        <v>15</v>
      </c>
      <c r="B12" t="s">
        <v>16</v>
      </c>
      <c r="C12" s="1">
        <v>2.4500000000000001E-2</v>
      </c>
      <c r="D12" s="1">
        <v>0</v>
      </c>
      <c r="E12" s="1">
        <v>0.11853572947731641</v>
      </c>
      <c r="F12" s="1">
        <v>1.8029823460604812E-2</v>
      </c>
      <c r="G12" s="1">
        <v>0.04</v>
      </c>
      <c r="H12" s="1">
        <v>0</v>
      </c>
      <c r="I12" s="4">
        <v>1.21634030682108E-2</v>
      </c>
      <c r="J12" s="4">
        <f t="shared" si="0"/>
        <v>0</v>
      </c>
      <c r="L12" s="4" t="s">
        <v>91</v>
      </c>
      <c r="M12" s="2">
        <f>+M8+N3+5%-4%</f>
        <v>3.6247605183262824E-3</v>
      </c>
    </row>
    <row r="13" spans="1:14" x14ac:dyDescent="0.25">
      <c r="A13" t="s">
        <v>17</v>
      </c>
      <c r="B13" t="s">
        <v>6</v>
      </c>
      <c r="C13" s="1">
        <v>2.3300000000000001E-2</v>
      </c>
      <c r="D13" s="1">
        <v>0</v>
      </c>
      <c r="E13" s="1">
        <v>0.12691383717276236</v>
      </c>
      <c r="F13" s="1">
        <v>3.7948635201455416E-2</v>
      </c>
      <c r="G13" s="1">
        <v>0</v>
      </c>
      <c r="H13" s="1">
        <v>0</v>
      </c>
      <c r="I13" s="4">
        <v>-1.70466826560733E-2</v>
      </c>
      <c r="J13" s="4">
        <f t="shared" si="0"/>
        <v>-1.70466826560733E-2</v>
      </c>
    </row>
    <row r="14" spans="1:14" x14ac:dyDescent="0.25">
      <c r="A14" t="s">
        <v>18</v>
      </c>
      <c r="B14" t="s">
        <v>19</v>
      </c>
      <c r="C14" s="1">
        <v>1.9900000000000001E-2</v>
      </c>
      <c r="D14" s="1">
        <v>0</v>
      </c>
      <c r="E14" s="1">
        <v>9.7633698698356572E-2</v>
      </c>
      <c r="F14" s="1">
        <v>1.9015577464104691E-2</v>
      </c>
      <c r="G14" s="1">
        <v>0.04</v>
      </c>
      <c r="H14" s="1">
        <v>0</v>
      </c>
      <c r="I14" s="4">
        <v>-3.9553952432276801E-2</v>
      </c>
      <c r="J14" s="4">
        <f t="shared" si="0"/>
        <v>-3.9553952432276801E-2</v>
      </c>
    </row>
    <row r="15" spans="1:14" x14ac:dyDescent="0.25">
      <c r="A15" t="s">
        <v>20</v>
      </c>
      <c r="B15" t="s">
        <v>12</v>
      </c>
      <c r="C15" s="1">
        <v>1.7899999999999999E-2</v>
      </c>
      <c r="D15" s="1">
        <v>0</v>
      </c>
      <c r="E15" s="1">
        <v>7.1525079840225381E-2</v>
      </c>
      <c r="F15" s="1">
        <v>2.1700854406386267E-2</v>
      </c>
      <c r="G15" s="1">
        <v>0</v>
      </c>
      <c r="H15" s="1">
        <v>0</v>
      </c>
      <c r="I15" s="4">
        <v>2.8514714273650502E-2</v>
      </c>
      <c r="J15" s="4">
        <f t="shared" si="0"/>
        <v>0</v>
      </c>
      <c r="M15">
        <f>+M11*0.5+0.5*M12</f>
        <v>-8.8984249514613197E-3</v>
      </c>
    </row>
    <row r="16" spans="1:14" x14ac:dyDescent="0.25">
      <c r="A16" t="s">
        <v>21</v>
      </c>
      <c r="B16" t="s">
        <v>2</v>
      </c>
      <c r="C16" s="1">
        <v>1.6799999999999999E-2</v>
      </c>
      <c r="D16" s="1">
        <v>9.5600000000000004E-2</v>
      </c>
      <c r="E16" s="1">
        <v>0.11057302617374926</v>
      </c>
      <c r="F16" s="1">
        <v>1.551309821753288E-2</v>
      </c>
      <c r="G16" s="1">
        <v>0</v>
      </c>
      <c r="H16" s="1">
        <v>0.06</v>
      </c>
      <c r="I16" s="4">
        <v>0.12551376835533401</v>
      </c>
      <c r="J16" s="4">
        <f t="shared" si="0"/>
        <v>0</v>
      </c>
    </row>
    <row r="17" spans="1:10" x14ac:dyDescent="0.25">
      <c r="A17" t="s">
        <v>22</v>
      </c>
      <c r="B17" t="s">
        <v>23</v>
      </c>
      <c r="C17" s="1">
        <v>1.67E-2</v>
      </c>
      <c r="D17" s="1">
        <v>0</v>
      </c>
      <c r="E17" s="1">
        <v>0.10646412746665262</v>
      </c>
      <c r="F17" s="1">
        <v>2.3362960981820842E-2</v>
      </c>
      <c r="G17" s="1">
        <v>0.05</v>
      </c>
      <c r="H17" s="1">
        <v>0</v>
      </c>
      <c r="I17" s="4">
        <v>-4.0718489645654799E-3</v>
      </c>
      <c r="J17" s="4">
        <f t="shared" si="0"/>
        <v>-4.0718489645654799E-3</v>
      </c>
    </row>
    <row r="18" spans="1:10" x14ac:dyDescent="0.25">
      <c r="A18" t="s">
        <v>24</v>
      </c>
      <c r="B18" t="s">
        <v>7</v>
      </c>
      <c r="C18" s="1">
        <v>1.6E-2</v>
      </c>
      <c r="D18" s="1">
        <v>0</v>
      </c>
      <c r="E18" s="1">
        <v>0.11380530080171335</v>
      </c>
      <c r="F18" s="1">
        <v>1.4188209840809695E-2</v>
      </c>
      <c r="G18" s="1">
        <v>0</v>
      </c>
      <c r="H18" s="1">
        <v>0</v>
      </c>
      <c r="I18" s="4">
        <v>1.0138897272053801E-2</v>
      </c>
      <c r="J18" s="4">
        <f t="shared" si="0"/>
        <v>0</v>
      </c>
    </row>
    <row r="19" spans="1:10" x14ac:dyDescent="0.25">
      <c r="A19" t="s">
        <v>25</v>
      </c>
      <c r="B19" t="s">
        <v>23</v>
      </c>
      <c r="C19" s="1">
        <v>1.24E-2</v>
      </c>
      <c r="D19" s="1">
        <v>0</v>
      </c>
      <c r="E19" s="1">
        <v>0.11867658747903061</v>
      </c>
      <c r="F19" s="1">
        <v>1.6853167137807188E-2</v>
      </c>
      <c r="G19" s="1">
        <v>0</v>
      </c>
      <c r="H19" s="1">
        <v>0</v>
      </c>
      <c r="I19" s="4">
        <v>0.23542827636670799</v>
      </c>
      <c r="J19" s="4">
        <f t="shared" si="0"/>
        <v>0</v>
      </c>
    </row>
    <row r="20" spans="1:10" x14ac:dyDescent="0.25">
      <c r="A20" t="s">
        <v>26</v>
      </c>
      <c r="B20" t="s">
        <v>12</v>
      </c>
      <c r="C20" s="1">
        <v>1.14E-2</v>
      </c>
      <c r="D20" s="1">
        <v>0</v>
      </c>
      <c r="E20" s="1">
        <v>6.7785762898210145E-2</v>
      </c>
      <c r="F20" s="1">
        <v>1.7543564974442694E-2</v>
      </c>
      <c r="G20" s="1">
        <v>0</v>
      </c>
      <c r="H20" s="1">
        <v>0</v>
      </c>
      <c r="I20" s="4">
        <v>0.1248746291946</v>
      </c>
      <c r="J20" s="4">
        <f t="shared" si="0"/>
        <v>0</v>
      </c>
    </row>
    <row r="21" spans="1:10" x14ac:dyDescent="0.25">
      <c r="A21" t="s">
        <v>27</v>
      </c>
      <c r="B21" t="s">
        <v>28</v>
      </c>
      <c r="C21" s="1">
        <v>1.0500000000000001E-2</v>
      </c>
      <c r="D21" s="1">
        <v>0</v>
      </c>
      <c r="E21" s="1">
        <v>8.8808080237021247E-2</v>
      </c>
      <c r="F21" s="1">
        <v>1.4553116738063076E-2</v>
      </c>
      <c r="G21" s="1">
        <v>0.04</v>
      </c>
      <c r="H21" s="1">
        <v>0</v>
      </c>
      <c r="I21" s="4">
        <v>-8.5879620578054299E-3</v>
      </c>
      <c r="J21" s="4">
        <f t="shared" si="0"/>
        <v>-8.5879620578054299E-3</v>
      </c>
    </row>
    <row r="22" spans="1:10" x14ac:dyDescent="0.25">
      <c r="A22" t="s">
        <v>29</v>
      </c>
      <c r="B22" t="s">
        <v>30</v>
      </c>
      <c r="C22" s="1">
        <v>1.0200000000000001E-2</v>
      </c>
      <c r="D22" s="1">
        <v>0</v>
      </c>
      <c r="E22" s="1">
        <v>0.13110368216115001</v>
      </c>
      <c r="F22" s="1">
        <v>2.9790797096964829E-2</v>
      </c>
      <c r="G22" s="1">
        <v>0</v>
      </c>
      <c r="H22" s="1">
        <v>0</v>
      </c>
      <c r="I22" s="4">
        <v>0.10468943223937401</v>
      </c>
      <c r="J22" s="4">
        <f t="shared" si="0"/>
        <v>0</v>
      </c>
    </row>
    <row r="23" spans="1:10" x14ac:dyDescent="0.25">
      <c r="A23" t="s">
        <v>70</v>
      </c>
      <c r="B23" t="s">
        <v>28</v>
      </c>
      <c r="C23" s="1">
        <v>9.9000000000000008E-3</v>
      </c>
      <c r="D23" s="1">
        <v>0</v>
      </c>
      <c r="E23" s="1">
        <v>9.415231666842809E-2</v>
      </c>
      <c r="F23" s="1">
        <v>1.8699811849385246E-2</v>
      </c>
      <c r="G23" s="1">
        <v>0</v>
      </c>
      <c r="H23" s="1">
        <v>0</v>
      </c>
      <c r="I23" s="4">
        <v>0.117324454963068</v>
      </c>
      <c r="J23" s="4">
        <f t="shared" si="0"/>
        <v>0</v>
      </c>
    </row>
    <row r="24" spans="1:10" x14ac:dyDescent="0.25">
      <c r="A24" t="s">
        <v>31</v>
      </c>
      <c r="B24" t="s">
        <v>32</v>
      </c>
      <c r="C24" s="1">
        <v>9.9000000000000008E-3</v>
      </c>
      <c r="D24" s="1">
        <v>0</v>
      </c>
      <c r="E24" s="1">
        <v>0.10329446937359976</v>
      </c>
      <c r="F24" s="1">
        <v>2.0245116504002358E-2</v>
      </c>
      <c r="G24" s="1">
        <v>0</v>
      </c>
      <c r="H24" s="1">
        <v>0</v>
      </c>
      <c r="I24" s="4">
        <v>0.106820473480866</v>
      </c>
      <c r="J24" s="4">
        <f t="shared" si="0"/>
        <v>0</v>
      </c>
    </row>
    <row r="25" spans="1:10" x14ac:dyDescent="0.25">
      <c r="A25" t="s">
        <v>33</v>
      </c>
      <c r="B25" t="s">
        <v>7</v>
      </c>
      <c r="C25" s="1">
        <v>9.7000000000000003E-3</v>
      </c>
      <c r="D25" s="1">
        <v>0</v>
      </c>
      <c r="E25" s="1">
        <v>0.13094143278759571</v>
      </c>
      <c r="F25" s="1">
        <v>1.9366415591514564E-2</v>
      </c>
      <c r="G25" s="1">
        <v>0</v>
      </c>
      <c r="H25" s="1">
        <v>0</v>
      </c>
      <c r="I25" s="4">
        <v>-0.14744390343821501</v>
      </c>
      <c r="J25" s="4">
        <f t="shared" si="0"/>
        <v>-0.14744390343821501</v>
      </c>
    </row>
    <row r="26" spans="1:10" x14ac:dyDescent="0.25">
      <c r="A26" t="s">
        <v>34</v>
      </c>
      <c r="B26" t="s">
        <v>6</v>
      </c>
      <c r="C26" s="1">
        <v>9.4999999999999998E-3</v>
      </c>
      <c r="D26" s="1">
        <v>0</v>
      </c>
      <c r="E26" s="1">
        <v>0.15347832484460072</v>
      </c>
      <c r="F26" s="1">
        <v>3.0534890660693433E-2</v>
      </c>
      <c r="G26" s="1">
        <v>0</v>
      </c>
      <c r="H26" s="1">
        <v>0</v>
      </c>
      <c r="I26" s="4">
        <v>6.6146869962124502E-2</v>
      </c>
      <c r="J26" s="4">
        <f t="shared" si="0"/>
        <v>0</v>
      </c>
    </row>
    <row r="27" spans="1:10" x14ac:dyDescent="0.25">
      <c r="A27" t="s">
        <v>35</v>
      </c>
      <c r="B27" t="s">
        <v>7</v>
      </c>
      <c r="C27" s="1">
        <v>9.2999999999999992E-3</v>
      </c>
      <c r="D27" s="1">
        <v>0</v>
      </c>
      <c r="E27" s="1">
        <v>0.12266735072378604</v>
      </c>
      <c r="F27" s="1">
        <v>1.1441631107132998E-2</v>
      </c>
      <c r="G27" s="1">
        <v>0</v>
      </c>
      <c r="H27" s="1">
        <v>0</v>
      </c>
      <c r="I27" s="4">
        <v>8.6083437850950406E-2</v>
      </c>
      <c r="J27" s="4">
        <f t="shared" si="0"/>
        <v>0</v>
      </c>
    </row>
    <row r="28" spans="1:10" x14ac:dyDescent="0.25">
      <c r="A28" t="s">
        <v>36</v>
      </c>
      <c r="B28" t="s">
        <v>6</v>
      </c>
      <c r="C28" s="1">
        <v>9.1000000000000004E-3</v>
      </c>
      <c r="D28" s="1">
        <v>0</v>
      </c>
      <c r="E28" s="1">
        <v>8.5111953720214573E-2</v>
      </c>
      <c r="F28" s="1">
        <v>1.9199641478371266E-2</v>
      </c>
      <c r="G28" s="1">
        <v>0.06</v>
      </c>
      <c r="H28" s="1">
        <v>0</v>
      </c>
      <c r="I28" s="4">
        <v>-0.113617191711119</v>
      </c>
      <c r="J28" s="4">
        <f t="shared" si="0"/>
        <v>-0.113617191711119</v>
      </c>
    </row>
    <row r="29" spans="1:10" x14ac:dyDescent="0.25">
      <c r="A29" t="s">
        <v>37</v>
      </c>
      <c r="B29" t="s">
        <v>38</v>
      </c>
      <c r="C29" s="1">
        <v>8.8000000000000005E-3</v>
      </c>
      <c r="D29" s="1">
        <v>0</v>
      </c>
      <c r="E29" s="1">
        <v>6.9927454720700721E-2</v>
      </c>
      <c r="F29" s="1">
        <v>4.0809308681537797E-3</v>
      </c>
      <c r="G29" s="1">
        <v>0</v>
      </c>
      <c r="H29" s="1">
        <v>0</v>
      </c>
      <c r="I29" s="4">
        <v>3.9902593168463903E-2</v>
      </c>
      <c r="J29" s="4">
        <f t="shared" si="0"/>
        <v>0</v>
      </c>
    </row>
    <row r="30" spans="1:10" x14ac:dyDescent="0.25">
      <c r="A30" t="s">
        <v>39</v>
      </c>
      <c r="B30" t="s">
        <v>2</v>
      </c>
      <c r="C30" s="1">
        <v>8.6999999999999994E-3</v>
      </c>
      <c r="D30" s="1">
        <v>4.3700000000000003E-2</v>
      </c>
      <c r="E30" s="1">
        <v>0.14620048087895607</v>
      </c>
      <c r="F30" s="1">
        <v>2.3601799730774004E-2</v>
      </c>
      <c r="G30" s="1">
        <v>0</v>
      </c>
      <c r="H30" s="1">
        <v>0.05</v>
      </c>
      <c r="I30" s="4">
        <v>-6.67425039941972E-3</v>
      </c>
      <c r="J30" s="4">
        <f t="shared" si="0"/>
        <v>-6.67425039941972E-3</v>
      </c>
    </row>
    <row r="31" spans="1:10" x14ac:dyDescent="0.25">
      <c r="A31" t="s">
        <v>40</v>
      </c>
      <c r="B31" t="s">
        <v>28</v>
      </c>
      <c r="C31" s="1">
        <v>8.2000000000000007E-3</v>
      </c>
      <c r="D31" s="1">
        <v>0</v>
      </c>
      <c r="E31" s="1">
        <v>0.1235998347193089</v>
      </c>
      <c r="F31" s="1">
        <v>3.5053320504279319E-2</v>
      </c>
      <c r="G31" s="1">
        <v>0</v>
      </c>
      <c r="H31" s="1">
        <v>0</v>
      </c>
      <c r="I31" s="4">
        <v>2.9976087993386E-2</v>
      </c>
      <c r="J31" s="4">
        <f t="shared" si="0"/>
        <v>0</v>
      </c>
    </row>
    <row r="32" spans="1:10" x14ac:dyDescent="0.25">
      <c r="A32" t="s">
        <v>41</v>
      </c>
      <c r="B32" t="s">
        <v>38</v>
      </c>
      <c r="C32" s="1">
        <v>8.2000000000000007E-3</v>
      </c>
      <c r="D32" s="1">
        <v>0</v>
      </c>
      <c r="E32" s="1">
        <v>7.8554641565131797E-2</v>
      </c>
      <c r="F32" s="1">
        <v>4.9239292016634217E-3</v>
      </c>
      <c r="G32" s="1">
        <v>0.03</v>
      </c>
      <c r="H32" s="1">
        <v>0</v>
      </c>
      <c r="I32" s="4">
        <v>-7.8488096864281598E-2</v>
      </c>
      <c r="J32" s="4">
        <f t="shared" si="0"/>
        <v>-7.8488096864281598E-2</v>
      </c>
    </row>
    <row r="33" spans="1:10" x14ac:dyDescent="0.25">
      <c r="A33" t="s">
        <v>42</v>
      </c>
      <c r="B33" t="s">
        <v>43</v>
      </c>
      <c r="C33" s="1">
        <v>7.7999999999999996E-3</v>
      </c>
      <c r="D33" s="1">
        <v>0</v>
      </c>
      <c r="E33" s="1">
        <v>0.13813708384838774</v>
      </c>
      <c r="F33" s="1">
        <v>1.7404529727475339E-2</v>
      </c>
      <c r="G33" s="1">
        <v>0.06</v>
      </c>
      <c r="H33" s="1">
        <v>0</v>
      </c>
      <c r="I33" s="4">
        <v>0.14597678653892099</v>
      </c>
      <c r="J33" s="4">
        <f t="shared" si="0"/>
        <v>0</v>
      </c>
    </row>
    <row r="34" spans="1:10" x14ac:dyDescent="0.25">
      <c r="A34" t="s">
        <v>44</v>
      </c>
      <c r="B34" t="s">
        <v>12</v>
      </c>
      <c r="C34" s="1">
        <v>7.7000000000000002E-3</v>
      </c>
      <c r="D34" s="1">
        <v>0</v>
      </c>
      <c r="E34" s="1">
        <v>7.7909336163047418E-2</v>
      </c>
      <c r="F34" s="1">
        <v>1.8597938954022054E-2</v>
      </c>
      <c r="G34" s="1">
        <v>0</v>
      </c>
      <c r="H34" s="1">
        <v>0</v>
      </c>
      <c r="I34" s="4">
        <v>1.2396417538953999E-2</v>
      </c>
      <c r="J34" s="4">
        <f t="shared" si="0"/>
        <v>0</v>
      </c>
    </row>
    <row r="35" spans="1:10" x14ac:dyDescent="0.25">
      <c r="A35" t="s">
        <v>45</v>
      </c>
      <c r="B35" t="s">
        <v>23</v>
      </c>
      <c r="C35" s="1">
        <v>7.4000000000000003E-3</v>
      </c>
      <c r="D35" s="1">
        <v>0</v>
      </c>
      <c r="E35" s="1">
        <v>0.10404706791091331</v>
      </c>
      <c r="F35" s="1">
        <v>2.146080326034408E-2</v>
      </c>
      <c r="G35" s="1">
        <v>0</v>
      </c>
      <c r="H35" s="1">
        <v>0</v>
      </c>
      <c r="I35" s="4">
        <v>-6.8308070659199194E-2</v>
      </c>
      <c r="J35" s="4">
        <f t="shared" si="0"/>
        <v>-6.8308070659199194E-2</v>
      </c>
    </row>
    <row r="36" spans="1:10" x14ac:dyDescent="0.25">
      <c r="A36" t="s">
        <v>46</v>
      </c>
      <c r="B36" t="s">
        <v>23</v>
      </c>
      <c r="C36" s="1">
        <v>7.1999999999999998E-3</v>
      </c>
      <c r="D36" s="1">
        <v>0</v>
      </c>
      <c r="E36" s="1">
        <v>8.924894604872026E-2</v>
      </c>
      <c r="F36" s="1">
        <v>1.4333562104034482E-2</v>
      </c>
      <c r="G36" s="1">
        <v>0</v>
      </c>
      <c r="H36" s="1">
        <v>0</v>
      </c>
      <c r="I36" s="4">
        <v>5.9231645823867897E-2</v>
      </c>
      <c r="J36" s="4">
        <f t="shared" si="0"/>
        <v>0</v>
      </c>
    </row>
    <row r="37" spans="1:10" x14ac:dyDescent="0.25">
      <c r="A37" t="s">
        <v>47</v>
      </c>
      <c r="B37" t="s">
        <v>28</v>
      </c>
      <c r="C37" s="1">
        <v>6.7999999999999996E-3</v>
      </c>
      <c r="D37" s="1">
        <v>0</v>
      </c>
      <c r="E37" s="1">
        <v>8.8375090520981789E-2</v>
      </c>
      <c r="F37" s="1">
        <v>1.2093851484703613E-2</v>
      </c>
      <c r="G37" s="1">
        <v>0.04</v>
      </c>
      <c r="H37" s="1">
        <v>0</v>
      </c>
      <c r="I37" s="4">
        <v>2.0039595410520802E-2</v>
      </c>
      <c r="J37" s="4">
        <f t="shared" si="0"/>
        <v>0</v>
      </c>
    </row>
    <row r="38" spans="1:10" x14ac:dyDescent="0.25">
      <c r="A38" t="s">
        <v>48</v>
      </c>
      <c r="B38" t="s">
        <v>23</v>
      </c>
      <c r="C38" s="1">
        <v>6.3E-3</v>
      </c>
      <c r="D38" s="1">
        <v>0</v>
      </c>
      <c r="E38" s="1">
        <v>0.13136292094370222</v>
      </c>
      <c r="F38" s="1">
        <v>3.3138351571005642E-2</v>
      </c>
      <c r="G38" s="1">
        <v>0</v>
      </c>
      <c r="H38" s="1">
        <v>0</v>
      </c>
      <c r="I38" s="4">
        <v>-4.4043607259780203E-2</v>
      </c>
      <c r="J38" s="4">
        <f t="shared" si="0"/>
        <v>-4.4043607259780203E-2</v>
      </c>
    </row>
    <row r="39" spans="1:10" x14ac:dyDescent="0.25">
      <c r="A39" t="s">
        <v>49</v>
      </c>
      <c r="B39" t="s">
        <v>32</v>
      </c>
      <c r="C39" s="1">
        <v>6.1999999999999998E-3</v>
      </c>
      <c r="D39" s="1">
        <v>0</v>
      </c>
      <c r="E39" s="1">
        <v>0.10286444556620072</v>
      </c>
      <c r="F39" s="1">
        <v>1.7179105699587922E-2</v>
      </c>
      <c r="G39" s="1">
        <v>0</v>
      </c>
      <c r="H39" s="1">
        <v>0</v>
      </c>
      <c r="I39" s="4">
        <v>-0.26716877660592397</v>
      </c>
      <c r="J39" s="4">
        <f t="shared" si="0"/>
        <v>-0.26716877660592397</v>
      </c>
    </row>
    <row r="40" spans="1:10" x14ac:dyDescent="0.25">
      <c r="A40" t="s">
        <v>50</v>
      </c>
      <c r="B40" t="s">
        <v>43</v>
      </c>
      <c r="C40" s="1">
        <v>6.1999999999999998E-3</v>
      </c>
      <c r="D40" s="1">
        <v>0</v>
      </c>
      <c r="E40" s="1">
        <v>0.1640925776902126</v>
      </c>
      <c r="F40" s="1">
        <v>2.6114509124644733E-2</v>
      </c>
      <c r="G40" s="1">
        <v>0</v>
      </c>
      <c r="H40" s="1">
        <v>0</v>
      </c>
      <c r="I40" s="4">
        <v>-1.05829607526732E-2</v>
      </c>
      <c r="J40" s="4">
        <f t="shared" si="0"/>
        <v>-1.05829607526732E-2</v>
      </c>
    </row>
    <row r="41" spans="1:10" x14ac:dyDescent="0.25">
      <c r="A41" t="s">
        <v>51</v>
      </c>
      <c r="B41" t="s">
        <v>52</v>
      </c>
      <c r="C41" s="1">
        <v>5.8999999999999999E-3</v>
      </c>
      <c r="D41" s="1">
        <v>0</v>
      </c>
      <c r="E41" s="1">
        <v>0.12531535741400929</v>
      </c>
      <c r="F41" s="1">
        <v>1.2765688346583532E-2</v>
      </c>
      <c r="G41" s="1">
        <v>0</v>
      </c>
      <c r="H41" s="1">
        <v>0</v>
      </c>
      <c r="I41" s="4">
        <v>7.3477757841254807E-2</v>
      </c>
      <c r="J41" s="4">
        <f t="shared" si="0"/>
        <v>0</v>
      </c>
    </row>
    <row r="42" spans="1:10" x14ac:dyDescent="0.25">
      <c r="A42" t="s">
        <v>53</v>
      </c>
      <c r="B42" t="s">
        <v>6</v>
      </c>
      <c r="C42" s="1">
        <v>5.8999999999999999E-3</v>
      </c>
      <c r="D42" s="1">
        <v>0</v>
      </c>
      <c r="E42" s="1">
        <v>9.0265278680038114E-2</v>
      </c>
      <c r="F42" s="1">
        <v>9.3941011947855785E-3</v>
      </c>
      <c r="G42" s="1">
        <v>0</v>
      </c>
      <c r="H42" s="1">
        <v>0</v>
      </c>
      <c r="I42" s="4">
        <v>-0.123530313527128</v>
      </c>
      <c r="J42" s="4">
        <f t="shared" si="0"/>
        <v>-0.123530313527128</v>
      </c>
    </row>
    <row r="43" spans="1:10" x14ac:dyDescent="0.25">
      <c r="A43" t="s">
        <v>71</v>
      </c>
      <c r="B43" t="s">
        <v>32</v>
      </c>
      <c r="C43" s="1">
        <v>5.7999999999999996E-3</v>
      </c>
      <c r="D43" s="1">
        <v>0</v>
      </c>
      <c r="E43" s="1">
        <v>0.13127721445068088</v>
      </c>
      <c r="F43" s="1">
        <v>3.3696946958404798E-2</v>
      </c>
      <c r="G43" s="1">
        <v>0</v>
      </c>
      <c r="H43" s="1">
        <v>0</v>
      </c>
      <c r="I43" s="4">
        <v>-0.101980891561769</v>
      </c>
      <c r="J43" s="4">
        <f t="shared" si="0"/>
        <v>-0.101980891561769</v>
      </c>
    </row>
    <row r="44" spans="1:10" x14ac:dyDescent="0.25">
      <c r="A44" t="s">
        <v>54</v>
      </c>
      <c r="B44" t="s">
        <v>23</v>
      </c>
      <c r="C44" s="1">
        <v>5.7999999999999996E-3</v>
      </c>
      <c r="D44" s="1">
        <v>0</v>
      </c>
      <c r="E44" s="1">
        <v>0.1421427024642648</v>
      </c>
      <c r="F44" s="1">
        <v>1.6845853744323437E-2</v>
      </c>
      <c r="G44" s="1">
        <v>0</v>
      </c>
      <c r="H44" s="1">
        <v>0</v>
      </c>
      <c r="I44" s="4">
        <v>-0.19721712817182299</v>
      </c>
      <c r="J44" s="4">
        <f t="shared" si="0"/>
        <v>-0.19721712817182299</v>
      </c>
    </row>
    <row r="45" spans="1:10" x14ac:dyDescent="0.25">
      <c r="A45" t="s">
        <v>55</v>
      </c>
      <c r="B45" t="s">
        <v>56</v>
      </c>
      <c r="C45" s="1">
        <v>5.4000000000000003E-3</v>
      </c>
      <c r="D45" s="1">
        <v>0</v>
      </c>
      <c r="E45" s="1">
        <v>0.12395481023026637</v>
      </c>
      <c r="F45" s="1">
        <v>1.2821445654100616E-2</v>
      </c>
      <c r="G45" s="1">
        <v>0</v>
      </c>
      <c r="H45" s="1">
        <v>0</v>
      </c>
      <c r="I45" s="4">
        <v>-8.1676852124032598E-2</v>
      </c>
      <c r="J45" s="4">
        <f t="shared" si="0"/>
        <v>-8.1676852124032598E-2</v>
      </c>
    </row>
    <row r="46" spans="1:10" x14ac:dyDescent="0.25">
      <c r="A46" t="s">
        <v>57</v>
      </c>
      <c r="B46" t="s">
        <v>4</v>
      </c>
      <c r="C46" s="1">
        <v>5.4000000000000003E-3</v>
      </c>
      <c r="D46" s="1">
        <v>0</v>
      </c>
      <c r="E46" s="1">
        <v>0.122180112242042</v>
      </c>
      <c r="F46" s="1">
        <v>1.7533145768924469E-2</v>
      </c>
      <c r="G46" s="1">
        <v>0</v>
      </c>
      <c r="H46" s="1">
        <v>0</v>
      </c>
      <c r="I46" s="4">
        <v>0.163005916333471</v>
      </c>
      <c r="J46" s="4">
        <f t="shared" si="0"/>
        <v>0</v>
      </c>
    </row>
    <row r="47" spans="1:10" x14ac:dyDescent="0.25">
      <c r="A47" t="s">
        <v>58</v>
      </c>
      <c r="B47" t="s">
        <v>59</v>
      </c>
      <c r="C47" s="1">
        <v>5.1000000000000004E-3</v>
      </c>
      <c r="D47" s="1">
        <v>0</v>
      </c>
      <c r="E47" s="1">
        <v>0.10594535153772726</v>
      </c>
      <c r="F47" s="1">
        <v>1.0283327431601392E-2</v>
      </c>
      <c r="G47" s="1">
        <v>0</v>
      </c>
      <c r="H47" s="1">
        <v>0</v>
      </c>
      <c r="I47" s="4">
        <v>-0.22759768543532699</v>
      </c>
      <c r="J47" s="4">
        <f t="shared" si="0"/>
        <v>-0.22759768543532699</v>
      </c>
    </row>
    <row r="48" spans="1:10" x14ac:dyDescent="0.25">
      <c r="A48" t="s">
        <v>60</v>
      </c>
      <c r="B48" t="s">
        <v>61</v>
      </c>
      <c r="C48" s="1">
        <v>4.7000000000000002E-3</v>
      </c>
      <c r="D48" s="1">
        <v>0</v>
      </c>
      <c r="E48" s="1">
        <v>7.4425389515672055E-2</v>
      </c>
      <c r="F48" s="1">
        <v>-4.932044082568865E-3</v>
      </c>
      <c r="G48" s="1">
        <v>0</v>
      </c>
      <c r="H48" s="1">
        <v>0</v>
      </c>
      <c r="I48" s="4">
        <v>0.127073399886246</v>
      </c>
      <c r="J48" s="4">
        <f t="shared" si="0"/>
        <v>0</v>
      </c>
    </row>
    <row r="49" spans="1:10" x14ac:dyDescent="0.25">
      <c r="A49" t="s">
        <v>62</v>
      </c>
      <c r="B49" t="s">
        <v>63</v>
      </c>
      <c r="C49" s="1">
        <v>4.1000000000000003E-3</v>
      </c>
      <c r="D49" s="1">
        <v>0</v>
      </c>
      <c r="E49" s="1">
        <v>0.81666396677694775</v>
      </c>
      <c r="F49" s="1">
        <v>7.8450109755226857E-2</v>
      </c>
      <c r="G49" s="1">
        <v>0</v>
      </c>
      <c r="H49" s="1">
        <v>0</v>
      </c>
      <c r="I49" s="4">
        <v>0.92740332301325001</v>
      </c>
      <c r="J49" s="4">
        <f t="shared" si="0"/>
        <v>0</v>
      </c>
    </row>
    <row r="50" spans="1:10" x14ac:dyDescent="0.25">
      <c r="A50" t="s">
        <v>64</v>
      </c>
      <c r="B50" t="s">
        <v>4</v>
      </c>
      <c r="C50" s="1">
        <v>3.8E-3</v>
      </c>
      <c r="D50" s="1">
        <v>0</v>
      </c>
      <c r="E50" s="1">
        <v>0.11436699944705134</v>
      </c>
      <c r="F50" s="1">
        <v>1.1933643683174655E-2</v>
      </c>
      <c r="G50" s="1">
        <v>0</v>
      </c>
      <c r="H50" s="1">
        <v>0</v>
      </c>
      <c r="I50" s="4">
        <v>0.13909004501234501</v>
      </c>
      <c r="J50" s="4">
        <f t="shared" si="0"/>
        <v>0</v>
      </c>
    </row>
    <row r="51" spans="1:10" x14ac:dyDescent="0.25">
      <c r="A51" s="3" t="s">
        <v>65</v>
      </c>
      <c r="B51" t="s">
        <v>66</v>
      </c>
      <c r="C51" s="1">
        <v>3.3999999999999998E-3</v>
      </c>
      <c r="D51" s="1">
        <v>0</v>
      </c>
      <c r="E51" s="1">
        <v>9.7165165625476085E-2</v>
      </c>
      <c r="F51" s="1">
        <v>1.3600738109746732E-2</v>
      </c>
      <c r="G51" s="1">
        <v>0</v>
      </c>
      <c r="H51" s="1">
        <v>0</v>
      </c>
      <c r="I51" s="4">
        <v>-3.5439923551867002E-2</v>
      </c>
      <c r="J51" s="4">
        <f t="shared" si="0"/>
        <v>-3.5439923551867002E-2</v>
      </c>
    </row>
    <row r="52" spans="1:10" x14ac:dyDescent="0.25">
      <c r="A52" s="3" t="s">
        <v>75</v>
      </c>
      <c r="B52" t="s">
        <v>2</v>
      </c>
      <c r="C52" s="1">
        <v>0</v>
      </c>
      <c r="D52" s="1">
        <v>2.58E-2</v>
      </c>
      <c r="E52" s="1">
        <v>0.19879544412041728</v>
      </c>
      <c r="F52" s="1">
        <v>1.2930602764089624E-2</v>
      </c>
      <c r="G52" s="1">
        <v>0</v>
      </c>
      <c r="H52" s="1">
        <v>0</v>
      </c>
      <c r="I52" s="4">
        <v>-0.111301777616653</v>
      </c>
      <c r="J52" s="4">
        <f t="shared" si="0"/>
        <v>-0.111301777616653</v>
      </c>
    </row>
    <row r="53" spans="1:10" x14ac:dyDescent="0.25">
      <c r="A53" s="3" t="s">
        <v>76</v>
      </c>
      <c r="B53" s="3" t="s">
        <v>2</v>
      </c>
      <c r="C53" s="1">
        <v>0</v>
      </c>
      <c r="D53" s="1">
        <v>6.6E-3</v>
      </c>
      <c r="E53" s="1">
        <v>0.13131346552280618</v>
      </c>
      <c r="F53" s="1">
        <v>1.4119290144542362E-2</v>
      </c>
      <c r="G53" s="1">
        <v>0</v>
      </c>
      <c r="H53" s="1">
        <v>0</v>
      </c>
      <c r="I53" s="4">
        <v>4.3464426059624098E-2</v>
      </c>
      <c r="J53" s="4">
        <f t="shared" si="0"/>
        <v>0</v>
      </c>
    </row>
    <row r="54" spans="1:10" x14ac:dyDescent="0.25">
      <c r="A54" s="3" t="s">
        <v>77</v>
      </c>
      <c r="B54" s="3" t="s">
        <v>2</v>
      </c>
      <c r="C54" s="1">
        <v>0</v>
      </c>
      <c r="D54" s="1">
        <v>1.3299999999999999E-2</v>
      </c>
      <c r="E54" s="1">
        <v>0.1362195005117097</v>
      </c>
      <c r="F54" s="1">
        <v>2.2129575686939504E-2</v>
      </c>
      <c r="G54" s="1">
        <v>0</v>
      </c>
      <c r="H54" s="1">
        <v>0</v>
      </c>
      <c r="I54" s="4">
        <v>0.210807530189488</v>
      </c>
      <c r="J54" s="4">
        <f t="shared" si="0"/>
        <v>0</v>
      </c>
    </row>
    <row r="55" spans="1:10" x14ac:dyDescent="0.25">
      <c r="A55" s="3" t="s">
        <v>78</v>
      </c>
      <c r="B55" s="3" t="s">
        <v>2</v>
      </c>
      <c r="C55" s="1">
        <v>0</v>
      </c>
      <c r="D55" s="1">
        <v>8.5000000000000006E-3</v>
      </c>
      <c r="E55" s="1">
        <v>0.12422639779948524</v>
      </c>
      <c r="F55" s="1">
        <v>8.9120746641570728E-5</v>
      </c>
      <c r="G55" s="1">
        <v>0</v>
      </c>
      <c r="H55" s="1">
        <v>0</v>
      </c>
      <c r="I55" s="4">
        <v>-5.9545570216520502E-2</v>
      </c>
      <c r="J55" s="4">
        <f t="shared" si="0"/>
        <v>-5.9545570216520502E-2</v>
      </c>
    </row>
    <row r="56" spans="1:10" x14ac:dyDescent="0.25">
      <c r="A56" s="3" t="s">
        <v>79</v>
      </c>
      <c r="B56" s="3" t="s">
        <v>2</v>
      </c>
      <c r="C56" s="1">
        <v>0</v>
      </c>
      <c r="D56" s="1">
        <v>4.5999999999999999E-3</v>
      </c>
      <c r="E56" s="1">
        <v>0.14692681821387679</v>
      </c>
      <c r="F56" s="1">
        <v>1.6746037918124346E-2</v>
      </c>
      <c r="G56" s="1">
        <v>0</v>
      </c>
      <c r="H56" s="1">
        <v>0</v>
      </c>
      <c r="I56" s="4">
        <v>0.126911405831309</v>
      </c>
      <c r="J56" s="4">
        <f t="shared" si="0"/>
        <v>0</v>
      </c>
    </row>
    <row r="57" spans="1:10" x14ac:dyDescent="0.25">
      <c r="A57" s="3" t="s">
        <v>82</v>
      </c>
      <c r="B57" s="3" t="s">
        <v>2</v>
      </c>
      <c r="C57" s="1">
        <v>0</v>
      </c>
      <c r="D57" s="1">
        <v>1.06E-2</v>
      </c>
      <c r="E57" s="1">
        <v>0.15307720428679783</v>
      </c>
      <c r="F57" s="1">
        <v>7.3543799576659356E-3</v>
      </c>
      <c r="G57" s="1">
        <v>0</v>
      </c>
      <c r="H57" s="1">
        <v>0</v>
      </c>
      <c r="I57" s="4">
        <v>-5.9897084752270298E-2</v>
      </c>
      <c r="J57" s="4">
        <f t="shared" si="0"/>
        <v>-5.9897084752270298E-2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PAYS_simulation_inputs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Gaurik Shah</dc:creator>
  <cp:lastModifiedBy>Gaurik Shah</cp:lastModifiedBy>
  <dcterms:created xsi:type="dcterms:W3CDTF">2020-12-24T05:04:24Z</dcterms:created>
  <dcterms:modified xsi:type="dcterms:W3CDTF">2020-12-24T09:51:24Z</dcterms:modified>
</cp:coreProperties>
</file>